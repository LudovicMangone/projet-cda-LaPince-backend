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<sst xmlns="http://schemas.openxmlformats.org/spreadsheetml/2006/main" count="107" uniqueCount="57">
  <si>
    <t>project</t>
  </si>
  <si>
    <t>participant</t>
  </si>
  <si>
    <t>id</t>
  </si>
  <si>
    <t>name</t>
  </si>
  <si>
    <t>description</t>
  </si>
  <si>
    <t>app_user_id</t>
  </si>
  <si>
    <t>Voyage Milan</t>
  </si>
  <si>
    <t>Week-end entre amis</t>
  </si>
  <si>
    <t>Steve</t>
  </si>
  <si>
    <t>Ludo</t>
  </si>
  <si>
    <t>null</t>
  </si>
  <si>
    <t>Jérémy</t>
  </si>
  <si>
    <t>operation</t>
  </si>
  <si>
    <t>amount</t>
  </si>
  <si>
    <t>payer_participant_id</t>
  </si>
  <si>
    <t>project_id</t>
  </si>
  <si>
    <t>operation_participant</t>
  </si>
  <si>
    <t>Restaurant Milan</t>
  </si>
  <si>
    <t>1 (steve)</t>
  </si>
  <si>
    <t>operation_id</t>
  </si>
  <si>
    <t>participant_id</t>
  </si>
  <si>
    <t>repartition_amount</t>
  </si>
  <si>
    <t>Essence</t>
  </si>
  <si>
    <t>2 (ludo)</t>
  </si>
  <si>
    <t>1 (resto 120€)</t>
  </si>
  <si>
    <t>(En bold le payeur)</t>
  </si>
  <si>
    <t>Airbnb Milan</t>
  </si>
  <si>
    <t>3 (jérémy)</t>
  </si>
  <si>
    <t>Courses petit-déj</t>
  </si>
  <si>
    <t>2 (essence 60€)</t>
  </si>
  <si>
    <t>Pour une visu des infos du projet en dashboard ou autre :</t>
  </si>
  <si>
    <t>3 (bnb 300€)</t>
  </si>
  <si>
    <t xml:space="preserve">Répartition NON équitable </t>
  </si>
  <si>
    <t>Total des dépenses du projet :</t>
  </si>
  <si>
    <t>(tout le monde n'a pas le meme prix de chambre)</t>
  </si>
  <si>
    <t>Montant du par Steve :</t>
  </si>
  <si>
    <t>Montant déjà payé par Steve :</t>
  </si>
  <si>
    <t>4 (courses 45€)</t>
  </si>
  <si>
    <t xml:space="preserve">Courses payées par Steve mais qu'il n'a pas consommé, </t>
  </si>
  <si>
    <t xml:space="preserve">Balance de la dette de Steve : </t>
  </si>
  <si>
    <t>dépense qui ne le concerne donc pas</t>
  </si>
  <si>
    <t>Pour ensuite la répartition des montants de qui doit quoi à qui. Balance des dettes globales :</t>
  </si>
  <si>
    <t>1 : Je selectionne celui est le + en positif</t>
  </si>
  <si>
    <t>&gt; Fonction pour arranger le tableau par ordre de la valeur des montant ensuite je faite une selection avec une condition sur le 1er negatif</t>
  </si>
  <si>
    <t>2 : Je selectionne le suivant le moins endetté</t>
  </si>
  <si>
    <t>3 : Le second rembourse le 1er et il remet ainsi sa balance à 0 nous avons donc maintenant :</t>
  </si>
  <si>
    <t>Steve vire 55€ à Jérémy</t>
  </si>
  <si>
    <t>4 : le dernier participant vire l'argent à Jérémy</t>
  </si>
  <si>
    <t>Test avec d'autres montants randoms et un membre en plus :</t>
  </si>
  <si>
    <t>Balance des dettes globales :</t>
  </si>
  <si>
    <t>Aurore</t>
  </si>
  <si>
    <t>2 : Je selectionne le 1er le moins endetté</t>
  </si>
  <si>
    <t>Steve vire 39€ à Jérémy</t>
  </si>
  <si>
    <t>4 : Je selectionne le suivant le moins endetté</t>
  </si>
  <si>
    <t>5 : Sa dette est répartie sur les montants restants</t>
  </si>
  <si>
    <t>Ludo vire 57€ à Aurore</t>
  </si>
  <si>
    <t>Ludo vire 98€ à Jérémy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</si>
</sst>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/>
    <font>
      <b/>
      <color theme="1"/>
      <name val="Arial"/>
    </font>
  </fonts>
  <fills count="2">
    <fill>
      <patternFill patternType="none"/>
    </fill>
    <fill>
      <patternFill patternType="lightGray"/>
    </fill>
  </fills>
  <borders count="23">
    <border/>
    <border>
      <left style="thin">
        <color rgb="FF666666"/>
      </lef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666666"/>
      </left>
      <right style="thin">
        <color rgb="FF666666"/>
      </right>
      <top style="double">
        <color rgb="FF666666"/>
      </top>
      <bottom style="thin">
        <color rgb="FF666666"/>
      </bottom>
    </border>
    <border>
      <left style="thin">
        <color rgb="FFF1C232"/>
      </left>
      <top style="thin">
        <color rgb="FFF1C232"/>
      </top>
      <bottom style="thin">
        <color rgb="FFF1C232"/>
      </bottom>
    </border>
    <border>
      <top style="thin">
        <color rgb="FFF1C232"/>
      </top>
      <bottom style="thin">
        <color rgb="FFF1C232"/>
      </bottom>
    </border>
    <border>
      <right style="thin">
        <color rgb="FFF1C232"/>
      </right>
      <top style="thin">
        <color rgb="FFF1C232"/>
      </top>
      <bottom style="thin">
        <color rgb="FFF1C232"/>
      </bottom>
    </border>
    <border>
      <left style="thin">
        <color rgb="FFF1C232"/>
      </left>
    </border>
    <border>
      <right style="thin">
        <color rgb="FFF1C232"/>
      </right>
    </border>
    <border>
      <left style="thin">
        <color rgb="FFF1C232"/>
      </left>
      <bottom style="thin">
        <color rgb="FFF1C232"/>
      </bottom>
    </border>
    <border>
      <bottom style="thin">
        <color rgb="FFF1C232"/>
      </bottom>
    </border>
    <border>
      <right style="thin">
        <color rgb="FFF1C232"/>
      </right>
      <bottom style="thin">
        <color rgb="FFF1C232"/>
      </bottom>
    </border>
    <border>
      <left style="thin">
        <color rgb="FF1155CC"/>
      </left>
      <top style="thin">
        <color rgb="FF1155CC"/>
      </top>
    </border>
    <border>
      <top style="thin">
        <color rgb="FF1155CC"/>
      </top>
    </border>
    <border>
      <right style="thin">
        <color rgb="FF1155CC"/>
      </right>
      <top style="thin">
        <color rgb="FF1155CC"/>
      </top>
    </border>
    <border>
      <left style="thin">
        <color rgb="FF1155CC"/>
      </left>
    </border>
    <border>
      <right style="thin">
        <color rgb="FF1155CC"/>
      </right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bottom style="thin">
        <color rgb="FF1155CC"/>
      </bottom>
    </border>
    <border>
      <right style="thin">
        <color rgb="FF1155CC"/>
      </right>
      <bottom style="thin">
        <color rgb="FF1155CC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right" vertical="bottom"/>
    </xf>
    <xf borderId="4" fillId="0" fontId="1" numFmtId="0" xfId="0" applyAlignment="1" applyBorder="1" applyFont="1">
      <alignment horizontal="center"/>
    </xf>
    <xf borderId="4" fillId="0" fontId="1" numFmtId="0" xfId="0" applyBorder="1" applyFont="1"/>
    <xf borderId="4" fillId="0" fontId="1" numFmtId="2" xfId="0" applyBorder="1" applyFont="1" applyNumberFormat="1"/>
    <xf borderId="4" fillId="0" fontId="1" numFmtId="0" xfId="0" applyAlignment="1" applyBorder="1" applyFont="1">
      <alignment horizontal="right"/>
    </xf>
    <xf borderId="4" fillId="0" fontId="3" numFmtId="0" xfId="0" applyBorder="1" applyFont="1"/>
    <xf borderId="4" fillId="0" fontId="3" numFmtId="0" xfId="0" applyAlignment="1" applyBorder="1" applyFont="1">
      <alignment horizontal="right"/>
    </xf>
    <xf borderId="4" fillId="0" fontId="3" numFmtId="2" xfId="0" applyBorder="1" applyFont="1" applyNumberFormat="1"/>
    <xf borderId="0" fillId="0" fontId="1" numFmtId="0" xfId="0" applyFont="1"/>
    <xf borderId="5" fillId="0" fontId="1" numFmtId="0" xfId="0" applyBorder="1" applyFont="1"/>
    <xf borderId="5" fillId="0" fontId="1" numFmtId="0" xfId="0" applyAlignment="1" applyBorder="1" applyFont="1">
      <alignment horizontal="right"/>
    </xf>
    <xf borderId="5" fillId="0" fontId="1" numFmtId="2" xfId="0" applyBorder="1" applyFont="1" applyNumberFormat="1"/>
    <xf borderId="6" fillId="0" fontId="1" numFmtId="0" xfId="0" applyBorder="1" applyFont="1"/>
    <xf borderId="6" fillId="0" fontId="1" numFmtId="0" xfId="0" applyAlignment="1" applyBorder="1" applyFont="1">
      <alignment horizontal="right"/>
    </xf>
    <xf borderId="6" fillId="0" fontId="1" numFmtId="2" xfId="0" applyBorder="1" applyFont="1" applyNumberFormat="1"/>
    <xf borderId="7" fillId="0" fontId="1" numFmtId="0" xfId="0" applyBorder="1" applyFont="1"/>
    <xf borderId="8" fillId="0" fontId="2" numFmtId="0" xfId="0" applyBorder="1" applyFont="1"/>
    <xf borderId="9" fillId="0" fontId="2" numFmtId="0" xfId="0" applyBorder="1" applyFont="1"/>
    <xf borderId="5" fillId="0" fontId="3" numFmtId="0" xfId="0" applyBorder="1" applyFont="1"/>
    <xf borderId="5" fillId="0" fontId="3" numFmtId="0" xfId="0" applyAlignment="1" applyBorder="1" applyFont="1">
      <alignment horizontal="right"/>
    </xf>
    <xf borderId="5" fillId="0" fontId="3" numFmtId="2" xfId="0" applyBorder="1" applyFont="1" applyNumberFormat="1"/>
    <xf borderId="10" fillId="0" fontId="1" numFmtId="0" xfId="0" applyBorder="1" applyFont="1"/>
    <xf borderId="11" fillId="0" fontId="1" numFmtId="0" xfId="0" applyBorder="1" applyFont="1"/>
    <xf borderId="11" fillId="0" fontId="1" numFmtId="2" xfId="0" applyBorder="1" applyFont="1" applyNumberFormat="1"/>
    <xf borderId="12" fillId="0" fontId="1" numFmtId="0" xfId="0" applyBorder="1" applyFont="1"/>
    <xf borderId="13" fillId="0" fontId="1" numFmtId="0" xfId="0" applyBorder="1" applyFont="1"/>
    <xf borderId="14" fillId="0" fontId="1" numFmtId="0" xfId="0" applyBorder="1" applyFont="1"/>
    <xf borderId="15" fillId="0" fontId="1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1" numFmtId="0" xfId="0" applyBorder="1" applyFont="1"/>
    <xf borderId="19" fillId="0" fontId="1" numFmtId="0" xfId="0" applyBorder="1" applyFont="1"/>
    <xf borderId="20" fillId="0" fontId="1" numFmtId="0" xfId="0" applyBorder="1" applyFont="1"/>
    <xf borderId="21" fillId="0" fontId="1" numFmtId="0" xfId="0" applyBorder="1" applyFont="1"/>
    <xf borderId="22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12.63"/>
    <col customWidth="1" min="3" max="3" width="19.38"/>
    <col customWidth="1" min="4" max="4" width="18.13"/>
    <col customWidth="1" min="5" max="5" width="18.5"/>
    <col customWidth="1" min="6" max="6" width="12.63"/>
    <col customWidth="1" min="7" max="7" width="4.38"/>
    <col customWidth="1" min="9" max="9" width="16.5"/>
    <col customWidth="1" min="10" max="10" width="14.88"/>
  </cols>
  <sheetData>
    <row r="1" ht="15.75" customHeight="1">
      <c r="G1" s="1"/>
      <c r="H1" s="1"/>
      <c r="I1" s="1"/>
    </row>
    <row r="2" ht="15.75" customHeight="1">
      <c r="B2" s="2" t="s">
        <v>0</v>
      </c>
      <c r="C2" s="3"/>
      <c r="D2" s="3"/>
      <c r="E2" s="4"/>
      <c r="G2" s="5"/>
      <c r="H2" s="2" t="s">
        <v>1</v>
      </c>
      <c r="I2" s="3"/>
      <c r="J2" s="4"/>
    </row>
    <row r="3" ht="15.75" customHeight="1">
      <c r="B3" s="6" t="s">
        <v>2</v>
      </c>
      <c r="C3" s="6" t="s">
        <v>3</v>
      </c>
      <c r="D3" s="6" t="s">
        <v>4</v>
      </c>
      <c r="E3" s="6" t="s">
        <v>5</v>
      </c>
      <c r="G3" s="5"/>
      <c r="H3" s="6" t="s">
        <v>2</v>
      </c>
      <c r="I3" s="6" t="s">
        <v>3</v>
      </c>
      <c r="J3" s="6" t="s">
        <v>5</v>
      </c>
    </row>
    <row r="4" ht="15.75" customHeight="1">
      <c r="B4" s="7">
        <v>1.0</v>
      </c>
      <c r="C4" s="7" t="s">
        <v>6</v>
      </c>
      <c r="D4" s="7" t="s">
        <v>7</v>
      </c>
      <c r="E4" s="7">
        <v>1.0</v>
      </c>
      <c r="G4" s="5"/>
      <c r="H4" s="7">
        <v>1.0</v>
      </c>
      <c r="I4" s="7" t="s">
        <v>8</v>
      </c>
      <c r="J4" s="7">
        <v>1.0</v>
      </c>
    </row>
    <row r="5" ht="15.75" customHeight="1">
      <c r="G5" s="5"/>
      <c r="H5" s="7">
        <v>2.0</v>
      </c>
      <c r="I5" s="7" t="s">
        <v>9</v>
      </c>
      <c r="J5" s="7" t="s">
        <v>10</v>
      </c>
    </row>
    <row r="6" ht="15.75" customHeight="1">
      <c r="H6" s="7">
        <v>3.0</v>
      </c>
      <c r="I6" s="7" t="s">
        <v>11</v>
      </c>
      <c r="J6" s="7" t="s">
        <v>10</v>
      </c>
    </row>
    <row r="7" ht="15.75" customHeight="1">
      <c r="B7" s="2" t="s">
        <v>12</v>
      </c>
      <c r="C7" s="3"/>
      <c r="D7" s="3"/>
      <c r="E7" s="3"/>
      <c r="F7" s="4"/>
    </row>
    <row r="8" ht="15.75" customHeight="1">
      <c r="B8" s="6" t="s">
        <v>2</v>
      </c>
      <c r="C8" s="6" t="s">
        <v>3</v>
      </c>
      <c r="D8" s="6" t="s">
        <v>13</v>
      </c>
      <c r="E8" s="6" t="s">
        <v>14</v>
      </c>
      <c r="F8" s="6" t="s">
        <v>15</v>
      </c>
      <c r="H8" s="2" t="s">
        <v>16</v>
      </c>
      <c r="I8" s="3"/>
      <c r="J8" s="4"/>
    </row>
    <row r="9" ht="15.75" customHeight="1">
      <c r="B9" s="7">
        <v>1.0</v>
      </c>
      <c r="C9" s="7" t="s">
        <v>17</v>
      </c>
      <c r="D9" s="8">
        <v>120.0</v>
      </c>
      <c r="E9" s="9" t="s">
        <v>18</v>
      </c>
      <c r="F9" s="7">
        <v>1.0</v>
      </c>
      <c r="H9" s="6" t="s">
        <v>19</v>
      </c>
      <c r="I9" s="6" t="s">
        <v>20</v>
      </c>
      <c r="J9" s="6" t="s">
        <v>21</v>
      </c>
    </row>
    <row r="10" ht="15.75" customHeight="1">
      <c r="B10" s="7">
        <v>2.0</v>
      </c>
      <c r="C10" s="7" t="s">
        <v>22</v>
      </c>
      <c r="D10" s="8">
        <v>60.0</v>
      </c>
      <c r="E10" s="9" t="s">
        <v>23</v>
      </c>
      <c r="F10" s="7">
        <v>1.0</v>
      </c>
      <c r="H10" s="10" t="s">
        <v>24</v>
      </c>
      <c r="I10" s="11" t="s">
        <v>18</v>
      </c>
      <c r="J10" s="12">
        <v>40.0</v>
      </c>
      <c r="K10" s="13" t="s">
        <v>25</v>
      </c>
    </row>
    <row r="11" ht="15.75" customHeight="1">
      <c r="B11" s="7">
        <v>3.0</v>
      </c>
      <c r="C11" s="7" t="s">
        <v>26</v>
      </c>
      <c r="D11" s="8">
        <v>300.0</v>
      </c>
      <c r="E11" s="9" t="s">
        <v>27</v>
      </c>
      <c r="F11" s="7">
        <v>1.0</v>
      </c>
      <c r="H11" s="7" t="s">
        <v>24</v>
      </c>
      <c r="I11" s="9" t="s">
        <v>23</v>
      </c>
      <c r="J11" s="8">
        <v>40.0</v>
      </c>
    </row>
    <row r="12" ht="15.75" customHeight="1">
      <c r="B12" s="7">
        <v>4.0</v>
      </c>
      <c r="C12" s="7" t="s">
        <v>28</v>
      </c>
      <c r="D12" s="8">
        <v>45.0</v>
      </c>
      <c r="E12" s="9" t="s">
        <v>18</v>
      </c>
      <c r="F12" s="7">
        <v>1.0</v>
      </c>
      <c r="H12" s="14" t="s">
        <v>24</v>
      </c>
      <c r="I12" s="15" t="s">
        <v>27</v>
      </c>
      <c r="J12" s="16">
        <v>40.0</v>
      </c>
    </row>
    <row r="13" ht="15.75" customHeight="1">
      <c r="G13" s="13"/>
      <c r="H13" s="17" t="s">
        <v>29</v>
      </c>
      <c r="I13" s="18" t="s">
        <v>18</v>
      </c>
      <c r="J13" s="19">
        <v>30.0</v>
      </c>
    </row>
    <row r="14" ht="15.75" customHeight="1">
      <c r="B14" s="20" t="s">
        <v>30</v>
      </c>
      <c r="C14" s="21"/>
      <c r="D14" s="22"/>
      <c r="G14" s="13"/>
      <c r="H14" s="23" t="s">
        <v>29</v>
      </c>
      <c r="I14" s="24" t="s">
        <v>23</v>
      </c>
      <c r="J14" s="25">
        <v>30.0</v>
      </c>
    </row>
    <row r="15" ht="15.75" customHeight="1">
      <c r="B15" s="26"/>
      <c r="D15" s="27"/>
      <c r="G15" s="13"/>
      <c r="H15" s="17" t="s">
        <v>31</v>
      </c>
      <c r="I15" s="18" t="s">
        <v>18</v>
      </c>
      <c r="J15" s="19">
        <v>150.0</v>
      </c>
      <c r="K15" s="13" t="s">
        <v>32</v>
      </c>
    </row>
    <row r="16" ht="15.75" customHeight="1">
      <c r="B16" s="26" t="s">
        <v>33</v>
      </c>
      <c r="D16" s="28">
        <f>SUM(D9:D12)</f>
        <v>525</v>
      </c>
      <c r="H16" s="7" t="s">
        <v>31</v>
      </c>
      <c r="I16" s="9" t="s">
        <v>23</v>
      </c>
      <c r="J16" s="8">
        <v>50.0</v>
      </c>
      <c r="K16" s="13" t="s">
        <v>34</v>
      </c>
    </row>
    <row r="17" ht="15.75" customHeight="1">
      <c r="B17" s="26" t="s">
        <v>35</v>
      </c>
      <c r="D17" s="28">
        <f>SUM(J10,J13,J15)</f>
        <v>220</v>
      </c>
      <c r="H17" s="23" t="s">
        <v>31</v>
      </c>
      <c r="I17" s="24" t="s">
        <v>27</v>
      </c>
      <c r="J17" s="25">
        <v>100.0</v>
      </c>
    </row>
    <row r="18" ht="15.75" customHeight="1">
      <c r="B18" s="26" t="s">
        <v>36</v>
      </c>
      <c r="D18" s="28">
        <f>SUM(D9,D12)</f>
        <v>165</v>
      </c>
      <c r="H18" s="17" t="s">
        <v>37</v>
      </c>
      <c r="I18" s="18" t="s">
        <v>23</v>
      </c>
      <c r="J18" s="19">
        <v>20.0</v>
      </c>
      <c r="K18" s="13" t="s">
        <v>38</v>
      </c>
    </row>
    <row r="19" ht="15.75" customHeight="1">
      <c r="B19" s="26" t="s">
        <v>39</v>
      </c>
      <c r="D19" s="28">
        <f>D18-D17</f>
        <v>-55</v>
      </c>
      <c r="H19" s="7" t="s">
        <v>37</v>
      </c>
      <c r="I19" s="9" t="s">
        <v>27</v>
      </c>
      <c r="J19" s="8">
        <v>25.0</v>
      </c>
      <c r="K19" s="13" t="s">
        <v>40</v>
      </c>
    </row>
    <row r="20" ht="15.75" customHeight="1">
      <c r="B20" s="26"/>
      <c r="D20" s="27"/>
    </row>
    <row r="21" ht="15.75" customHeight="1">
      <c r="B21" s="29"/>
      <c r="C21" s="30"/>
      <c r="D21" s="31"/>
    </row>
    <row r="22" ht="4.5" customHeight="1"/>
    <row r="23" ht="15.75" customHeight="1"/>
    <row r="24" ht="15.75" customHeight="1">
      <c r="C24" s="32" t="s">
        <v>41</v>
      </c>
      <c r="D24" s="33"/>
      <c r="E24" s="33"/>
      <c r="F24" s="34"/>
    </row>
    <row r="25" ht="5.25" customHeight="1">
      <c r="C25" s="35"/>
      <c r="F25" s="36"/>
    </row>
    <row r="26" ht="15.75" customHeight="1">
      <c r="C26" s="37" t="s">
        <v>8</v>
      </c>
      <c r="D26" s="37">
        <v>-55.0</v>
      </c>
      <c r="F26" s="36"/>
    </row>
    <row r="27" ht="15.75" customHeight="1">
      <c r="C27" s="37" t="s">
        <v>9</v>
      </c>
      <c r="D27" s="37">
        <v>-80.0</v>
      </c>
      <c r="F27" s="36"/>
    </row>
    <row r="28" ht="15.75" customHeight="1">
      <c r="C28" s="37" t="s">
        <v>11</v>
      </c>
      <c r="D28" s="37">
        <v>135.0</v>
      </c>
      <c r="F28" s="36"/>
    </row>
    <row r="29" ht="5.25" customHeight="1">
      <c r="C29" s="35"/>
      <c r="F29" s="36"/>
    </row>
    <row r="30" ht="15.75" customHeight="1">
      <c r="C30" s="35" t="s">
        <v>42</v>
      </c>
      <c r="F30" s="36" t="s">
        <v>43</v>
      </c>
    </row>
    <row r="31" ht="15.75" customHeight="1">
      <c r="C31" s="35" t="s">
        <v>11</v>
      </c>
      <c r="D31" s="13">
        <f>D28</f>
        <v>135</v>
      </c>
      <c r="F31" s="36"/>
    </row>
    <row r="32" ht="15.75" customHeight="1">
      <c r="C32" s="35" t="s">
        <v>44</v>
      </c>
      <c r="F32" s="36"/>
    </row>
    <row r="33" ht="15.75" customHeight="1">
      <c r="C33" s="35" t="s">
        <v>8</v>
      </c>
      <c r="D33" s="13">
        <f>D26</f>
        <v>-55</v>
      </c>
      <c r="F33" s="36"/>
    </row>
    <row r="34" ht="15.75" customHeight="1">
      <c r="C34" s="35" t="s">
        <v>45</v>
      </c>
      <c r="F34" s="36"/>
    </row>
    <row r="35" ht="15.75" customHeight="1">
      <c r="C35" s="37" t="s">
        <v>46</v>
      </c>
      <c r="D35" s="37">
        <v>0.0</v>
      </c>
      <c r="F35" s="36"/>
    </row>
    <row r="36" ht="15.75" customHeight="1">
      <c r="C36" s="37" t="s">
        <v>9</v>
      </c>
      <c r="D36" s="37">
        <f>D27</f>
        <v>-80</v>
      </c>
      <c r="F36" s="36"/>
    </row>
    <row r="37" ht="15.75" customHeight="1">
      <c r="C37" s="37" t="s">
        <v>11</v>
      </c>
      <c r="D37" s="37">
        <f>D31+D33</f>
        <v>80</v>
      </c>
      <c r="F37" s="36"/>
    </row>
    <row r="38" ht="15.75" customHeight="1">
      <c r="C38" s="35" t="s">
        <v>47</v>
      </c>
      <c r="F38" s="36"/>
    </row>
    <row r="39" ht="15.75" customHeight="1">
      <c r="C39" s="35"/>
      <c r="F39" s="36"/>
    </row>
    <row r="40" ht="15.75" customHeight="1">
      <c r="C40" s="35"/>
      <c r="F40" s="36"/>
    </row>
    <row r="41" ht="15.75" customHeight="1">
      <c r="C41" s="35" t="s">
        <v>48</v>
      </c>
      <c r="F41" s="36"/>
    </row>
    <row r="42" ht="15.75" customHeight="1">
      <c r="C42" s="35" t="s">
        <v>49</v>
      </c>
      <c r="F42" s="36"/>
    </row>
    <row r="43" ht="15.75" customHeight="1">
      <c r="C43" s="37" t="s">
        <v>50</v>
      </c>
      <c r="D43" s="37">
        <v>57.0</v>
      </c>
      <c r="F43" s="36"/>
    </row>
    <row r="44" ht="15.75" customHeight="1">
      <c r="C44" s="37" t="s">
        <v>8</v>
      </c>
      <c r="D44" s="37">
        <v>-39.0</v>
      </c>
      <c r="F44" s="36"/>
    </row>
    <row r="45" ht="15.75" customHeight="1">
      <c r="C45" s="37" t="s">
        <v>9</v>
      </c>
      <c r="D45" s="37">
        <v>-155.0</v>
      </c>
      <c r="F45" s="36"/>
    </row>
    <row r="46" ht="15.75" customHeight="1">
      <c r="C46" s="37" t="s">
        <v>11</v>
      </c>
      <c r="D46" s="37">
        <v>137.0</v>
      </c>
      <c r="F46" s="36"/>
    </row>
    <row r="47" ht="15.75" customHeight="1">
      <c r="C47" s="35"/>
      <c r="F47" s="36"/>
    </row>
    <row r="48" ht="15.75" customHeight="1">
      <c r="C48" s="35" t="s">
        <v>42</v>
      </c>
      <c r="F48" s="36" t="s">
        <v>43</v>
      </c>
    </row>
    <row r="49" ht="15.75" customHeight="1">
      <c r="C49" s="35" t="s">
        <v>11</v>
      </c>
      <c r="D49" s="13">
        <f>D46</f>
        <v>137</v>
      </c>
      <c r="F49" s="36"/>
    </row>
    <row r="50" ht="15.75" customHeight="1">
      <c r="C50" s="35" t="s">
        <v>51</v>
      </c>
      <c r="F50" s="36"/>
    </row>
    <row r="51" ht="15.75" customHeight="1">
      <c r="C51" s="35" t="s">
        <v>8</v>
      </c>
      <c r="D51" s="13">
        <f>D44</f>
        <v>-39</v>
      </c>
      <c r="F51" s="36"/>
    </row>
    <row r="52" ht="15.75" customHeight="1">
      <c r="C52" s="35" t="s">
        <v>45</v>
      </c>
      <c r="F52" s="36"/>
    </row>
    <row r="53" ht="15.75" customHeight="1">
      <c r="C53" s="37" t="s">
        <v>50</v>
      </c>
      <c r="D53" s="37">
        <f>D43</f>
        <v>57</v>
      </c>
      <c r="F53" s="36"/>
    </row>
    <row r="54" ht="15.75" customHeight="1">
      <c r="C54" s="37" t="s">
        <v>52</v>
      </c>
      <c r="D54" s="37">
        <v>0.0</v>
      </c>
      <c r="F54" s="36"/>
    </row>
    <row r="55" ht="15.75" customHeight="1">
      <c r="C55" s="37" t="s">
        <v>9</v>
      </c>
      <c r="D55" s="37">
        <f>D45</f>
        <v>-155</v>
      </c>
      <c r="F55" s="36"/>
    </row>
    <row r="56" ht="15.75" customHeight="1">
      <c r="C56" s="37" t="s">
        <v>11</v>
      </c>
      <c r="D56" s="37">
        <f>D46+D44</f>
        <v>98</v>
      </c>
      <c r="F56" s="36"/>
    </row>
    <row r="57" ht="15.75" customHeight="1">
      <c r="C57" s="35" t="s">
        <v>53</v>
      </c>
      <c r="F57" s="36"/>
    </row>
    <row r="58" ht="15.75" customHeight="1">
      <c r="C58" s="35" t="s">
        <v>9</v>
      </c>
      <c r="D58" s="13">
        <f>D45</f>
        <v>-155</v>
      </c>
      <c r="F58" s="36"/>
    </row>
    <row r="59" ht="15.75" customHeight="1">
      <c r="C59" s="35" t="s">
        <v>54</v>
      </c>
      <c r="F59" s="36"/>
    </row>
    <row r="60" ht="15.75" customHeight="1">
      <c r="C60" s="37" t="s">
        <v>50</v>
      </c>
      <c r="D60" s="37">
        <v>57.0</v>
      </c>
      <c r="F60" s="36"/>
    </row>
    <row r="61" ht="15.75" customHeight="1">
      <c r="C61" s="37" t="s">
        <v>8</v>
      </c>
      <c r="D61" s="37">
        <v>0.0</v>
      </c>
      <c r="F61" s="36"/>
    </row>
    <row r="62" ht="15.75" customHeight="1">
      <c r="C62" s="37" t="s">
        <v>9</v>
      </c>
      <c r="D62" s="37">
        <v>-155.0</v>
      </c>
      <c r="F62" s="36"/>
    </row>
    <row r="63" ht="15.75" customHeight="1">
      <c r="C63" s="37" t="s">
        <v>11</v>
      </c>
      <c r="D63" s="37">
        <v>98.0</v>
      </c>
      <c r="F63" s="36"/>
    </row>
    <row r="64" ht="15.75" customHeight="1">
      <c r="C64" s="35" t="s">
        <v>55</v>
      </c>
      <c r="F64" s="36"/>
    </row>
    <row r="65" ht="15.75" customHeight="1">
      <c r="C65" s="35" t="s">
        <v>56</v>
      </c>
      <c r="F65" s="36"/>
    </row>
    <row r="66" ht="15.75" customHeight="1">
      <c r="C66" s="37" t="s">
        <v>50</v>
      </c>
      <c r="D66" s="37">
        <v>0.0</v>
      </c>
      <c r="F66" s="36"/>
    </row>
    <row r="67" ht="15.75" customHeight="1">
      <c r="C67" s="37" t="s">
        <v>8</v>
      </c>
      <c r="D67" s="37">
        <v>0.0</v>
      </c>
      <c r="F67" s="36"/>
    </row>
    <row r="68" ht="15.75" customHeight="1">
      <c r="C68" s="37" t="s">
        <v>9</v>
      </c>
      <c r="D68" s="37">
        <v>0.0</v>
      </c>
      <c r="F68" s="36"/>
    </row>
    <row r="69" ht="15.75" customHeight="1">
      <c r="C69" s="37" t="s">
        <v>11</v>
      </c>
      <c r="D69" s="37">
        <v>0.0</v>
      </c>
      <c r="E69" s="38"/>
      <c r="F69" s="39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18:C18"/>
    <mergeCell ref="B19:C19"/>
    <mergeCell ref="C24:F24"/>
    <mergeCell ref="B2:E2"/>
    <mergeCell ref="H2:J2"/>
    <mergeCell ref="B7:F7"/>
    <mergeCell ref="H8:J8"/>
    <mergeCell ref="B14:D14"/>
    <mergeCell ref="B16:C16"/>
    <mergeCell ref="B17:C17"/>
  </mergeCells>
  <drawing r:id="rId1"/>
</worksheet>
</file>